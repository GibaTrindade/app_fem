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Y:\DESENVOLVIMENTO_REGIONAL\FEM\5. FEM\NOTAS TÉCNICAS 2022, 2023, 2024, 2025 e 2026\Luiz\"/>
    </mc:Choice>
  </mc:AlternateContent>
  <xr:revisionPtr revIDLastSave="0" documentId="13_ncr:1_{922340CF-A4AE-40A8-B3BF-968A06F8B927}" xr6:coauthVersionLast="47" xr6:coauthVersionMax="47" xr10:uidLastSave="{00000000-0000-0000-0000-000000000000}"/>
  <bookViews>
    <workbookView xWindow="-108" yWindow="-108" windowWidth="23256" windowHeight="12456" xr2:uid="{00000000-000D-0000-FFFF-FFFF00000000}"/>
  </bookViews>
  <sheets>
    <sheet name="NOTA TÉCNICA" sheetId="1" r:id="rId1"/>
  </sheets>
  <externalReferences>
    <externalReference r:id="rId2"/>
  </externalReferences>
  <definedNames>
    <definedName name="INT_MUNICIPIO">OFFSET([1]Plan5!$P$3,0,0,26-COUNTBLANK([1]Plan5!$P$3:$P$28),1)</definedName>
    <definedName name="Lista_Municipios_2013">[1]Plan5!$B$3:$B$186</definedName>
    <definedName name="Lista_RD">[1]Plan5!$K$3:$K$14</definedName>
    <definedName name="STATUS_MATRIZ">OFFSET('[1]LISTA STATUS'!$C$6,0,0,COUNTA('[1]LISTA STATUS'!$C$6:$C$8000),1)</definedName>
    <definedName name="STATUS_TRADUCAO">OFFSET('[1]LISTA STATUS'!$D$6,0,0,COUNTA('[1]LISTA STATUS'!$D$6:$D$8000),1)</definedName>
    <definedName name="STATUS_TRADUCAO_2">OFFSET('[1]LISTA STATUS'!$E$6,0,0,COUNTA('[1]LISTA STATUS'!$E$6:$E$8000),1)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7" i="1" l="1"/>
  <c r="C47" i="1"/>
  <c r="D35" i="1"/>
  <c r="C35" i="1"/>
  <c r="D26" i="1"/>
  <c r="C26" i="1"/>
  <c r="D17" i="1"/>
  <c r="C17" i="1"/>
  <c r="B10" i="1"/>
  <c r="B2" i="1"/>
</calcChain>
</file>

<file path=xl/sharedStrings.xml><?xml version="1.0" encoding="utf-8"?>
<sst xmlns="http://schemas.openxmlformats.org/spreadsheetml/2006/main" count="70" uniqueCount="41">
  <si>
    <t>PTM</t>
  </si>
  <si>
    <t>VALOR TOTAL FEM</t>
  </si>
  <si>
    <t>VALOR REPASSADO</t>
  </si>
  <si>
    <t>DATA ÚLTIMO PAGAMENTO</t>
  </si>
  <si>
    <t>STATUS</t>
  </si>
  <si>
    <t>OBSERVAÇÃO</t>
  </si>
  <si>
    <t>CONCLUÍDA</t>
  </si>
  <si>
    <t>AMBULATÓRIO ESPECIALIZADO DA CRIANÇA (AMEC)</t>
  </si>
  <si>
    <t>2. FEM 2014</t>
  </si>
  <si>
    <t>CONSTRUÇÃO DA CENTRAL DE FEIRAS E MERCADOS</t>
  </si>
  <si>
    <t>4. EMENDA PARLAMENTAR</t>
  </si>
  <si>
    <t>Município de Santa Cruz do Capibaribe</t>
  </si>
  <si>
    <t>PAVIMENTAÇÃO EM PARALELEPÍPEDO EM DIVERSAS RUAS DO MUNICÍPIO - JOSE LUCIO DA SILVA, MARIA EULALIA BARBOSA, ANA EULINA ROCHA, JOSE ROBERTO RAMOS, FAUSTO ANTONIO DA SILVA, AV. JOÃO PEREIRA DE ABREU, AV. IRMÃ EVELINE, AV. AIRTON SENA</t>
  </si>
  <si>
    <t>Para o FEM de 2014 foram protocolados 02 (dois) Planos de Trabalho, os quais correspondem a um investimento total do FEM de R$ 2.292.939,19, com R$ 2.264.149,61 já repassado,  abaixo relacionados:</t>
  </si>
  <si>
    <t>Para o FEM de 2013 foram protocolados 02 (dois) Planos de Trabalho, os quais correspondem a um investimento total do FEM de R$ 1.968.770,37 integralmente pago, abaixo relacionados:</t>
  </si>
  <si>
    <t>3. FEM 2015</t>
  </si>
  <si>
    <t>EM ANDAMENTO</t>
  </si>
  <si>
    <t>PAVIMENTAÇÃO EM PARALELEPÍPEDO DE DIVERSAS RUAS - RUA JOSE MARCELINO RAMOS, RUA TEODORA DE CARVALHO ARAGÃO, RUA HELENO SEVERINO DA SILVA, RUA JOSE NUNES DE LIMA, RUA JAIME FRANCISCO DE QUEIROZ, RUA ALONSO NUNES DE LIMA, RUA NAELSON GREGÓRIO NUNES, RUA ANTÔNIO LUIZ DE ANDRADE, RUA JOAQUIM FERREIRA FILHO, RUA JOSEFA MENDES DE BARROS, RUA SEVERINO FRANCELINO ARAGÃO, AV. VEREADOR FRANCISCO GLICÉRIO DA SILVA, RUA JOSE GERALDO DA SILVA E RUA PROJETADA DE ACESSO AO CALÇADÃO (TRECHO 1)</t>
  </si>
  <si>
    <t>PAVIMENTAÇÃO EM PARALELEPÍPEDOS DE DIVERSAS RUAS DO BAIRRO SANTO EXPEDITO. CONSTRUÇÃO DE PAVIMENTAÇÃO EM PARALELEPÍPEDOS NA RUA JOSÉ ALBERTO RAMOS GONÇALVES - BAIRRO POLIPASCAS, RUA MARKYSALINE SANTANA DA SILVA- BAIRRO POLISPACAS, RUA JOÃO VICENTE FERREIRA - BAIRRO POLISPACAS , RUA JOSÉ FRANCISCO DE QUEIROZ ( NA SAÍSA DA VILA DO PARÁ).
EP 652/2016 - DEP. DIOGO MORAES</t>
  </si>
  <si>
    <t>INVESTIMENTO EM ILUMINAÇÃO PÚBLICA NO MUNICÍPIO DE SANTA CRUZ DO CAPIBARIBE.
EP 51/2021 - DEP. ALESSANDRA VIEIRA</t>
  </si>
  <si>
    <t>PAVIMENTAÇÃO EM PARALELEPIPEDOS GRANÍTICOS NA RUA JAIME FRANCISCO DE QUEIROZ, NO MUNICÍPIO DE SANTA CRUZ DO CAPIBARIBE.
EP 368/2022 - DEP. WILLIAM BRÍGIDO</t>
  </si>
  <si>
    <t>PAVIMENTAÇÃO EM PARALELEPIPEDOS GRANÍTICOS NAS RUAS SEBASTIÃO RODRIGUES DE LIMA, ANATILDE HERMÍNIO MUNIZ E JOSÉ RONALDO GOMES, NO MUNICÍPIO DE SANTA CRUZ DO CAPIBARIBE.
EP 695, 697 E 703/2022 - DEP. DIOGO MORAES</t>
  </si>
  <si>
    <t>PAVIMENTAÇÃO EM PARALELEPIPEDOS GRANÍTICOS EM DIVERSAS RUAS EM VIAS URBANAS, NO MUNICÍPIO DE SANTA CRUZ DO CAPIBARIBE/PE: RUA MARIA VIEIRA DE ARAÚJO, RUA SEVERINO NUNES DE LIMA, RUA JAILSON FERREIRA TENORIO, RUA MARIA FRANCISCA RAMOS, RUA MANOEL PEREIRA DA SILVA, RUA CÉLIO JUNIOR DA SILVA, RUA ANTONIA FERREIRA RAMOS, RUA CECILIO ARRUDA DE FARIAS, RUA ANICETO JACINTO RAMOS, RUA OLAVO BILAC, RUA MARGARIDA DOS SANTOS ALVES, RUA JOSÉ MARCELO SIMÃO, RUA JOÃO JOSÉ DOS SANTOS, RUA MARIA EUNICE RAMOS, RUA OTAVIANO FRANCISCO DE QUEIROZ, RUA ODETE EUNICE FEITOSA ARAUJO, RUA REGINALDO RAMOS SOARES, RUA JOSÉ BERNARDINO GOMES, RUA PRESIDENTE ARTUR COSTA E SILVA, RUA WANDERBILTE DIAS BEZERRA, RUA WILLIAN BANYSTER FORSYT, RUA MONTE DAS TABOCAS</t>
  </si>
  <si>
    <t>PAVIMENTAÇÃO EM INTERTRAVADOS NA RUA JOÃO GLICÉRIO DO NASCIMENTO, NO BAIRRO NOVA SANTA CRUZ NO MUNICÍPIO DE SANTA CRUZ DO CAPIBARIBE.
EP 744, 746, 747 E 772/2023 - DEP. DIOGO MORAES</t>
  </si>
  <si>
    <t>TOTAL</t>
  </si>
  <si>
    <t>VALOR UTILIZADO DA EMENDA</t>
  </si>
  <si>
    <t>Para Emendas Parlamentares foram protocolados 05 (cinco) Planos de Trabalho, os quais correspondem a um investimento total de R$ 1.682.975,60, com R$ 843.010,31 já repassado, abaixo relacionados:</t>
  </si>
  <si>
    <t>VISTORIA DE 60% REALIZADA EM 04/07/23. REANÁLISE DE PRESTAÇÃO DE CONTAS DE 30% COM INCONSISTÊNCIAS ENVIADA PARA O MUNICÍPIO EM 22/10/2025. DOCUMENTAÇÃO COMPLEMENTAR ENCAMINHADA PARA ANÁLISE EM 11/02/2026. (3000008464.000291/2023-10)</t>
  </si>
  <si>
    <t>ANÁLISE DE PRESTAÇÃO DE CONTAS REALIZADA PELA CEHAB COM EXIGÊNCIAS PARA O MUNICÍPIO.</t>
  </si>
  <si>
    <t>AGUARDANDO O MUNICÍPIO SOLICITAR A 4ª PARCELA, E ENCAMINHAR DOCUMENTAÇÃO DE PRESTAÇÃO DE CONTAS PARCIAL, CONFORME § 2º, ART 2º, DO DECRETO 39.200/2013. (3000008464.000241/2023-32)</t>
  </si>
  <si>
    <t>MUNICÍPIO SOLICITOU CANCELAMENTO DO PTM. (3000008448.000857/2021-40)</t>
  </si>
  <si>
    <t>AGUARDANDO O MUNICÍPIO SOLICITAR A 2ª PARCELA, E ENCAMINHAR DOCUMENTAÇÃO DE PRESTAÇÃO DE CONTAS PARCIAL, CONFORME § 2º, ART 2º, DO DECRETO 39.200/2013. (3000008448.000675/2022-50)</t>
  </si>
  <si>
    <t>AGUARDANDO O MUNICÍPIO SOLICITAR A 2ª PARCELA, E ENCAMINHAR DOCUMENTAÇÃO DE PRESTAÇÃO DE CONTAS PARCIAL, CONFORME § 2º, ART 2º, DO DECRETO 39.200/2013. (3000008464.000565/2023-71)</t>
  </si>
  <si>
    <t>PRESTAÇÃO DE CONTAS APROVADA COM RESSALVAS PELA CEHAB. (3000008464.000283/2020-21)</t>
  </si>
  <si>
    <t>Atualizado em 17/03/2026</t>
  </si>
  <si>
    <t>IMPLANTAÇÃO DE INFRAESTRUTURA PARA APOIO À MULHER - AQUISIÇÃO DE (01) UM VEÍCULO ZERO QUILOMETRO</t>
  </si>
  <si>
    <t>REPROGRAMAÇÃO DO PTM APROVADA PELA SECRETARIA DA MULHER. PTM APTO A RECEBER A 2ª PARCELA NO VALOR DE 
R$ 74.706,73. (3000008448.000388/2021-69)</t>
  </si>
  <si>
    <t>Para o FEM de 2015 foram protocolados 02 (dois) Planos de Trabalho, os quais correspondem a um investimento total do FEM de R$ 2.269.956,44, com R$ 1.763.658,42 já repassado, abaixo relacionados:</t>
  </si>
  <si>
    <t xml:space="preserve">PRESTAÇÃO DE CONTAS APROVADA. </t>
  </si>
  <si>
    <t>TERMO DE ENCERRAMENTO DE MEDIDAS ADMINISTRATIVAS - PRESCRIÇÃO. (3000008448.000496/2019-17)</t>
  </si>
  <si>
    <t>TERMO DE ENCERRAMENTO DE MEDIDAS ADMINISTRATIVAS - PRESCRIÇÃO. (3000008448.000736/2021-06)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</si>
</sst>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R$&quot;\ * #,##0.00_-;\-&quot;R$&quot;\ * #,##0.00_-;_-&quot;R$&quot;\ * &quot;-&quot;??_-;_-@_-"/>
    <numFmt numFmtId="43" formatCode="_-* #,##0.00_-;\-* #,##0.00_-;_-* &quot;-&quot;??_-;_-@_-"/>
    <numFmt numFmtId="164" formatCode="_-[$R$-416]\ * #,##0.00_-;\-[$R$-416]\ * #,##0.00_-;_-[$R$-416]\ * &quot;-&quot;??_-;_-@_-"/>
    <numFmt numFmtId="165" formatCode="_(&quot;R$ &quot;* #,##0.00_);_(&quot;R$ &quot;* \(#,##0.00\);_(&quot;R$ &quot;* &quot;-&quot;??_);_(@_)"/>
    <numFmt numFmtId="166" formatCode="0000"/>
    <numFmt numFmtId="167" formatCode="&quot;R$&quot;\ #,##0.00"/>
    <numFmt numFmtId="168" formatCode="dd/mm/yy;@"/>
    <numFmt numFmtId="169" formatCode="_(&quot;R$&quot;* #,##0.00_);_(&quot;R$&quot;* \(#,##0.00\);_(&quot;R$&quot;*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sz val="12"/>
      <color theme="1"/>
      <name val="Calibri"/>
      <family val="2"/>
      <scheme val="minor"/>
    </font>
    <font>
      <b/>
      <sz val="14"/>
      <color theme="0"/>
      <name val="Calibri"/>
      <family val="2"/>
      <scheme val="minor"/>
    </font>
    <font>
      <sz val="10"/>
      <name val="Arial"/>
      <family val="2"/>
    </font>
    <font>
      <u/>
      <sz val="11"/>
      <color theme="10"/>
      <name val="Calibri"/>
      <family val="2"/>
      <scheme val="minor"/>
    </font>
    <font>
      <sz val="11"/>
      <color rgb="FF000000"/>
      <name val="Calibri"/>
      <family val="2"/>
      <charset val="1"/>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6">
    <xf numFmtId="0" fontId="0" fillId="0" borderId="0"/>
    <xf numFmtId="44" fontId="1" fillId="0" borderId="0" applyFont="0" applyFill="0" applyBorder="0" applyAlignment="0" applyProtection="0"/>
    <xf numFmtId="0" fontId="7" fillId="0" borderId="0"/>
    <xf numFmtId="0" fontId="8" fillId="0" borderId="0" applyNumberFormat="0" applyFill="0" applyBorder="0" applyAlignment="0" applyProtection="0"/>
    <xf numFmtId="165" fontId="7" fillId="0" borderId="0" applyFont="0" applyFill="0" applyBorder="0" applyAlignment="0" applyProtection="0"/>
    <xf numFmtId="44" fontId="7" fillId="0" borderId="0" applyFont="0" applyFill="0" applyBorder="0" applyAlignment="0" applyProtection="0"/>
    <xf numFmtId="165" fontId="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xf numFmtId="0" fontId="9"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Border="0" applyProtection="0"/>
    <xf numFmtId="166" fontId="9" fillId="0" borderId="0" applyBorder="0" applyProtection="0"/>
    <xf numFmtId="166" fontId="9" fillId="0" borderId="0" applyBorder="0" applyProtection="0"/>
    <xf numFmtId="167" fontId="9" fillId="0" borderId="0" applyBorder="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8" fontId="9" fillId="0" borderId="0" applyBorder="0" applyProtection="0"/>
    <xf numFmtId="168" fontId="9" fillId="0" borderId="0" applyBorder="0" applyProtection="0"/>
  </cellStyleXfs>
  <cellXfs count="22">
    <xf numFmtId="0" fontId="0" fillId="0" borderId="0" xfId="0"/>
    <xf numFmtId="0" fontId="0" fillId="0" borderId="0" xfId="0" applyAlignment="1">
      <alignment vertical="center"/>
    </xf>
    <xf numFmtId="0" fontId="3" fillId="0" borderId="0" xfId="0" applyFont="1" applyAlignment="1">
      <alignment vertical="center"/>
    </xf>
    <xf numFmtId="0" fontId="2" fillId="0" borderId="0" xfId="0" applyFont="1" applyAlignment="1">
      <alignment horizontal="right" vertical="center"/>
    </xf>
    <xf numFmtId="0" fontId="4" fillId="0" borderId="0" xfId="0" applyFont="1" applyBorder="1" applyAlignment="1">
      <alignment vertical="center"/>
    </xf>
    <xf numFmtId="0" fontId="4" fillId="0" borderId="0" xfId="0" applyFont="1" applyAlignment="1">
      <alignment vertical="center"/>
    </xf>
    <xf numFmtId="0" fontId="0" fillId="0" borderId="0" xfId="0" applyAlignment="1">
      <alignment horizontal="justify" vertical="center"/>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2" fillId="0" borderId="0" xfId="0" applyFont="1"/>
    <xf numFmtId="169" fontId="0" fillId="0" borderId="1" xfId="1" applyNumberFormat="1" applyFont="1" applyFill="1" applyBorder="1" applyAlignment="1" applyProtection="1">
      <alignment horizontal="center" vertical="center" wrapText="1"/>
    </xf>
    <xf numFmtId="0" fontId="0" fillId="0" borderId="0" xfId="0" applyBorder="1" applyAlignment="1">
      <alignment horizontal="center" vertical="center" wrapText="1"/>
    </xf>
    <xf numFmtId="164" fontId="0" fillId="0" borderId="0" xfId="0" applyNumberFormat="1" applyBorder="1" applyAlignment="1">
      <alignment horizontal="center" vertical="center" wrapText="1"/>
    </xf>
    <xf numFmtId="14" fontId="0" fillId="0" borderId="0" xfId="0" applyNumberFormat="1"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3" fillId="0" borderId="0" xfId="0" applyFont="1" applyAlignment="1">
      <alignment horizontal="center" vertical="center"/>
    </xf>
    <xf numFmtId="0" fontId="5" fillId="0" borderId="0" xfId="0" quotePrefix="1" applyFont="1" applyAlignment="1">
      <alignment horizontal="justify" vertical="center" wrapText="1"/>
    </xf>
    <xf numFmtId="0" fontId="5" fillId="0" borderId="0" xfId="0" applyFont="1" applyAlignment="1">
      <alignment horizontal="justify" vertical="center" wrapText="1"/>
    </xf>
  </cellXfs>
  <cellStyles count="66">
    <cellStyle name="0,0_x000d__x000a_NA_x000d__x000a_" xfId="2" xr:uid="{00000000-0005-0000-0000-000000000000}"/>
    <cellStyle name="Hiperlink 2" xfId="3" xr:uid="{00000000-0005-0000-0000-000001000000}"/>
    <cellStyle name="Moeda" xfId="1" builtinId="4"/>
    <cellStyle name="Moeda 2" xfId="4" xr:uid="{00000000-0005-0000-0000-000003000000}"/>
    <cellStyle name="Moeda 3" xfId="5" xr:uid="{00000000-0005-0000-0000-000004000000}"/>
    <cellStyle name="Moeda 4" xfId="6" xr:uid="{00000000-0005-0000-0000-000005000000}"/>
    <cellStyle name="Normal" xfId="0" builtinId="0"/>
    <cellStyle name="Normal 10" xfId="7" xr:uid="{00000000-0005-0000-0000-000007000000}"/>
    <cellStyle name="Normal 11" xfId="8" xr:uid="{00000000-0005-0000-0000-000008000000}"/>
    <cellStyle name="Normal 12" xfId="9" xr:uid="{00000000-0005-0000-0000-000009000000}"/>
    <cellStyle name="Normal 13" xfId="10" xr:uid="{00000000-0005-0000-0000-00000A000000}"/>
    <cellStyle name="Normal 14" xfId="11" xr:uid="{00000000-0005-0000-0000-00000B000000}"/>
    <cellStyle name="Normal 15" xfId="12" xr:uid="{00000000-0005-0000-0000-00000C000000}"/>
    <cellStyle name="Normal 16" xfId="13" xr:uid="{00000000-0005-0000-0000-00000D000000}"/>
    <cellStyle name="Normal 2" xfId="14" xr:uid="{00000000-0005-0000-0000-00000E000000}"/>
    <cellStyle name="Normal 2 10" xfId="15" xr:uid="{00000000-0005-0000-0000-00000F000000}"/>
    <cellStyle name="Normal 2 11" xfId="16" xr:uid="{00000000-0005-0000-0000-000010000000}"/>
    <cellStyle name="Normal 2 12" xfId="17" xr:uid="{00000000-0005-0000-0000-000011000000}"/>
    <cellStyle name="Normal 2 13" xfId="18" xr:uid="{00000000-0005-0000-0000-000012000000}"/>
    <cellStyle name="Normal 2 14" xfId="19" xr:uid="{00000000-0005-0000-0000-000013000000}"/>
    <cellStyle name="Normal 2 15" xfId="20" xr:uid="{00000000-0005-0000-0000-000014000000}"/>
    <cellStyle name="Normal 2 16" xfId="21" xr:uid="{00000000-0005-0000-0000-000015000000}"/>
    <cellStyle name="Normal 2 2" xfId="22" xr:uid="{00000000-0005-0000-0000-000016000000}"/>
    <cellStyle name="Normal 2 2 2" xfId="23" xr:uid="{00000000-0005-0000-0000-000017000000}"/>
    <cellStyle name="Normal 2 2 2 2" xfId="24" xr:uid="{00000000-0005-0000-0000-000018000000}"/>
    <cellStyle name="Normal 2 3" xfId="25" xr:uid="{00000000-0005-0000-0000-000019000000}"/>
    <cellStyle name="Normal 2 4" xfId="26" xr:uid="{00000000-0005-0000-0000-00001A000000}"/>
    <cellStyle name="Normal 2 5" xfId="27" xr:uid="{00000000-0005-0000-0000-00001B000000}"/>
    <cellStyle name="Normal 2 6" xfId="28" xr:uid="{00000000-0005-0000-0000-00001C000000}"/>
    <cellStyle name="Normal 2 7" xfId="29" xr:uid="{00000000-0005-0000-0000-00001D000000}"/>
    <cellStyle name="Normal 2 8" xfId="30" xr:uid="{00000000-0005-0000-0000-00001E000000}"/>
    <cellStyle name="Normal 2 9" xfId="31" xr:uid="{00000000-0005-0000-0000-00001F000000}"/>
    <cellStyle name="Normal 3" xfId="32" xr:uid="{00000000-0005-0000-0000-000020000000}"/>
    <cellStyle name="Normal 3 2" xfId="33" xr:uid="{00000000-0005-0000-0000-000021000000}"/>
    <cellStyle name="Normal 3 3" xfId="34" xr:uid="{00000000-0005-0000-0000-000022000000}"/>
    <cellStyle name="Normal 4" xfId="35" xr:uid="{00000000-0005-0000-0000-000023000000}"/>
    <cellStyle name="Normal 5" xfId="36" xr:uid="{00000000-0005-0000-0000-000024000000}"/>
    <cellStyle name="Normal 5 2" xfId="37" xr:uid="{00000000-0005-0000-0000-000025000000}"/>
    <cellStyle name="Normal 6" xfId="38" xr:uid="{00000000-0005-0000-0000-000026000000}"/>
    <cellStyle name="Normal 7" xfId="39" xr:uid="{00000000-0005-0000-0000-000027000000}"/>
    <cellStyle name="Normal 8" xfId="40" xr:uid="{00000000-0005-0000-0000-000028000000}"/>
    <cellStyle name="Normal 9" xfId="41" xr:uid="{00000000-0005-0000-0000-000029000000}"/>
    <cellStyle name="Porcentagem 2" xfId="42" xr:uid="{00000000-0005-0000-0000-00002A000000}"/>
    <cellStyle name="Porcentagem 3" xfId="43" xr:uid="{00000000-0005-0000-0000-00002B000000}"/>
    <cellStyle name="Separador de milhares 2" xfId="44" xr:uid="{00000000-0005-0000-0000-00002C000000}"/>
    <cellStyle name="Separador de milhares 2 2" xfId="45" xr:uid="{00000000-0005-0000-0000-00002D000000}"/>
    <cellStyle name="Separador de milhares 2 2 2" xfId="46" xr:uid="{00000000-0005-0000-0000-00002E000000}"/>
    <cellStyle name="Separador de milhares 2 2 3" xfId="47" xr:uid="{00000000-0005-0000-0000-00002F000000}"/>
    <cellStyle name="Separador de milhares 2 3" xfId="48" xr:uid="{00000000-0005-0000-0000-000030000000}"/>
    <cellStyle name="Separador de milhares 2 4" xfId="49" xr:uid="{00000000-0005-0000-0000-000031000000}"/>
    <cellStyle name="Separador de milhares 2 5" xfId="50" xr:uid="{00000000-0005-0000-0000-000032000000}"/>
    <cellStyle name="Separador de milhares 3" xfId="51" xr:uid="{00000000-0005-0000-0000-000033000000}"/>
    <cellStyle name="Vírgula 2" xfId="52" xr:uid="{00000000-0005-0000-0000-000034000000}"/>
    <cellStyle name="Vírgula 2 2" xfId="53" xr:uid="{00000000-0005-0000-0000-000035000000}"/>
    <cellStyle name="Vírgula 2 3" xfId="54" xr:uid="{00000000-0005-0000-0000-000036000000}"/>
    <cellStyle name="Vírgula 2 4" xfId="55" xr:uid="{00000000-0005-0000-0000-000037000000}"/>
    <cellStyle name="Vírgula 2 4 2" xfId="56" xr:uid="{00000000-0005-0000-0000-000038000000}"/>
    <cellStyle name="Vírgula 2 5" xfId="57" xr:uid="{00000000-0005-0000-0000-000039000000}"/>
    <cellStyle name="Vírgula 3" xfId="58" xr:uid="{00000000-0005-0000-0000-00003A000000}"/>
    <cellStyle name="Vírgula 3 2" xfId="59" xr:uid="{00000000-0005-0000-0000-00003B000000}"/>
    <cellStyle name="Vírgula 3 3" xfId="60" xr:uid="{00000000-0005-0000-0000-00003C000000}"/>
    <cellStyle name="Vírgula 4" xfId="61" xr:uid="{00000000-0005-0000-0000-00003D000000}"/>
    <cellStyle name="Vírgula 4 2" xfId="62" xr:uid="{00000000-0005-0000-0000-00003E000000}"/>
    <cellStyle name="Vírgula 4 3" xfId="63" xr:uid="{00000000-0005-0000-0000-00003F000000}"/>
    <cellStyle name="Vírgula 5" xfId="64" xr:uid="{00000000-0005-0000-0000-000040000000}"/>
    <cellStyle name="Vírgula 6" xfId="65" xr:uid="{00000000-0005-0000-0000-00004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1234722</xdr:colOff>
      <xdr:row>0</xdr:row>
      <xdr:rowOff>119944</xdr:rowOff>
    </xdr:from>
    <xdr:to>
      <xdr:col>6</xdr:col>
      <xdr:colOff>1866899</xdr:colOff>
      <xdr:row>4</xdr:row>
      <xdr:rowOff>91722</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866944" y="119944"/>
          <a:ext cx="1904999" cy="1164167"/>
        </a:xfrm>
        <a:prstGeom prst="rect">
          <a:avLst/>
        </a:prstGeom>
        <a:noFill/>
        <a:ln w="1">
          <a:noFill/>
          <a:miter lim="800000"/>
          <a:headEnd/>
          <a:tailEnd type="none" w="med" len="med"/>
        </a:ln>
        <a:effectLst/>
      </xdr:spPr>
    </xdr:pic>
    <xdr:clientData/>
  </xdr:twoCellAnchor>
  <xdr:twoCellAnchor editAs="oneCell">
    <xdr:from>
      <xdr:col>5</xdr:col>
      <xdr:colOff>1058333</xdr:colOff>
      <xdr:row>0</xdr:row>
      <xdr:rowOff>218722</xdr:rowOff>
    </xdr:from>
    <xdr:to>
      <xdr:col>7</xdr:col>
      <xdr:colOff>203199</xdr:colOff>
      <xdr:row>3</xdr:row>
      <xdr:rowOff>225777</xdr:rowOff>
    </xdr:to>
    <xdr:pic>
      <xdr:nvPicPr>
        <xdr:cNvPr id="3" name="Imagem 2" descr="Blog do Edney: NO 100° DIA DE GOVERNO, PERNAMBUCO LANÇA NOVO SLOGAN E  IDENTIDADE VISUAL">
          <a:extLst>
            <a:ext uri="{FF2B5EF4-FFF2-40B4-BE49-F238E27FC236}">
              <a16:creationId xmlns:a16="http://schemas.microsoft.com/office/drawing/2014/main" id="{488AAAAD-5D9A-485A-977A-AD11F11D33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0733" y="218722"/>
          <a:ext cx="2370666" cy="904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FEM\PLANILHAS%20DE%20TRABALHO\NOTA%20T&#201;CN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SCUNHO"/>
      <sheetName val="ESCOLHA"/>
      <sheetName val="RESUMO 2013"/>
      <sheetName val="RESUMO 2014"/>
      <sheetName val="RESUMO 2015"/>
      <sheetName val="LISTA STATUS"/>
      <sheetName val="Plan3"/>
      <sheetName val="BASE 2013"/>
      <sheetName val="Plan5"/>
      <sheetName val="NOTA TÉCNICA"/>
      <sheetName val="NOTA TÉCNICA 2"/>
      <sheetName val="Plan1"/>
    </sheetNames>
    <sheetDataSet>
      <sheetData sheetId="0" refreshError="1">
        <row r="2">
          <cell r="B2" t="str">
            <v>NOTA TÉCNICA</v>
          </cell>
        </row>
        <row r="10">
          <cell r="B10" t="str">
            <v>1. FEM 2013</v>
          </cell>
        </row>
      </sheetData>
      <sheetData sheetId="1" refreshError="1"/>
      <sheetData sheetId="2" refreshError="1"/>
      <sheetData sheetId="3" refreshError="1"/>
      <sheetData sheetId="4" refreshError="1"/>
      <sheetData sheetId="5">
        <row r="6">
          <cell r="C6" t="str">
            <v>AGUARDANDO RETIFICAÇÃO</v>
          </cell>
          <cell r="D6" t="str">
            <v>NÃO</v>
          </cell>
          <cell r="E6" t="str">
            <v>NÃO CONTA</v>
          </cell>
        </row>
        <row r="7">
          <cell r="C7" t="str">
            <v>AGUARDANDO ENCAMINHAMENTO</v>
          </cell>
          <cell r="D7" t="str">
            <v>NÃO</v>
          </cell>
          <cell r="E7" t="str">
            <v>NÃO CONTA</v>
          </cell>
        </row>
        <row r="8">
          <cell r="C8" t="str">
            <v>AGUARDANDO ANÁLISE</v>
          </cell>
          <cell r="D8" t="str">
            <v>NÃO</v>
          </cell>
          <cell r="E8" t="str">
            <v>NÃO CONTA</v>
          </cell>
        </row>
        <row r="9">
          <cell r="C9" t="str">
            <v>AGUARDANDO CEAM (INICIAL)</v>
          </cell>
          <cell r="D9" t="str">
            <v>NÃO</v>
          </cell>
          <cell r="E9" t="str">
            <v>NÃO CONTA</v>
          </cell>
        </row>
        <row r="10">
          <cell r="C10" t="str">
            <v>APROVADO</v>
          </cell>
          <cell r="D10" t="str">
            <v>SIM</v>
          </cell>
          <cell r="E10" t="str">
            <v>EM ANDAMENTO</v>
          </cell>
        </row>
        <row r="11">
          <cell r="C11" t="str">
            <v>AGUARDANDO REPROGRAMAÇÃO</v>
          </cell>
          <cell r="D11" t="str">
            <v>SIM</v>
          </cell>
          <cell r="E11" t="str">
            <v>EM ANDAMENTO</v>
          </cell>
        </row>
        <row r="12">
          <cell r="C12" t="str">
            <v>AGUARDANDO CEAM (REP)</v>
          </cell>
          <cell r="D12" t="str">
            <v>SIM</v>
          </cell>
          <cell r="E12" t="str">
            <v>EM ANDAMENTO</v>
          </cell>
        </row>
        <row r="13">
          <cell r="C13" t="str">
            <v>AGUARDANDO PRESTAÇÃO DE CONTAS</v>
          </cell>
          <cell r="D13" t="str">
            <v>SIM</v>
          </cell>
          <cell r="E13" t="str">
            <v>CONCLUÍDO</v>
          </cell>
        </row>
        <row r="14">
          <cell r="C14" t="str">
            <v>AGUARDANDO APROVAÇÃO PRESTAÇÃO DE CONTAS</v>
          </cell>
          <cell r="D14" t="str">
            <v>SIM</v>
          </cell>
          <cell r="E14" t="str">
            <v>CONCLUÍDO</v>
          </cell>
        </row>
        <row r="15">
          <cell r="C15" t="str">
            <v>CONCLUÍDO</v>
          </cell>
          <cell r="D15" t="str">
            <v>SIM</v>
          </cell>
          <cell r="E15" t="str">
            <v>NÃO CONTA</v>
          </cell>
        </row>
        <row r="16">
          <cell r="C16" t="str">
            <v>CANCELADO</v>
          </cell>
          <cell r="D16" t="str">
            <v>NÃO</v>
          </cell>
          <cell r="E16" t="str">
            <v>NÃO CONTA</v>
          </cell>
        </row>
        <row r="17">
          <cell r="C17" t="str">
            <v>SUBSTITUÍDO</v>
          </cell>
          <cell r="D17" t="str">
            <v>NÃO</v>
          </cell>
          <cell r="E17" t="str">
            <v>NÃO CONTA</v>
          </cell>
        </row>
        <row r="18">
          <cell r="C18" t="str">
            <v>REPROVADO</v>
          </cell>
          <cell r="D18" t="str">
            <v>NÃO</v>
          </cell>
          <cell r="E18" t="str">
            <v>NÃO CONTA</v>
          </cell>
        </row>
        <row r="19">
          <cell r="C19" t="str">
            <v>PRORROGAÇÃO DE PRAZO</v>
          </cell>
          <cell r="D19" t="str">
            <v>SIM</v>
          </cell>
          <cell r="E19" t="str">
            <v>EM ANDAMENTO</v>
          </cell>
        </row>
        <row r="20">
          <cell r="C20" t="str">
            <v>REPROGRAMAÇÃO E PRORROGAÇÃO</v>
          </cell>
          <cell r="D20" t="str">
            <v>SIM</v>
          </cell>
          <cell r="E20" t="str">
            <v>EM ANDAMENTO</v>
          </cell>
        </row>
        <row r="21">
          <cell r="C21" t="str">
            <v>AGUARDANDO APROVAÇÃO PRESTAÇÃO DE CONTAS (SECRETARIA)</v>
          </cell>
          <cell r="D21" t="str">
            <v>SIM</v>
          </cell>
          <cell r="E21" t="str">
            <v>CONCLUÍDO</v>
          </cell>
        </row>
        <row r="22">
          <cell r="C22" t="str">
            <v>AGUARDANDO APROVAÇÃO PRESTAÇÃO DE CONTAS (CEAM)</v>
          </cell>
          <cell r="D22" t="str">
            <v>SIM</v>
          </cell>
          <cell r="E22" t="str">
            <v>EM ANDAMENTO</v>
          </cell>
        </row>
      </sheetData>
      <sheetData sheetId="6" refreshError="1"/>
      <sheetData sheetId="7" refreshError="1"/>
      <sheetData sheetId="8">
        <row r="3">
          <cell r="B3" t="str">
            <v>ABREU E LIMA</v>
          </cell>
          <cell r="K3" t="str">
            <v>AGRESTE CENTRAL</v>
          </cell>
          <cell r="P3" t="str">
            <v>AFOGADOS DA INGAZEIRA</v>
          </cell>
        </row>
        <row r="4">
          <cell r="B4" t="str">
            <v>AFOGADOS DA INGAZEIRA</v>
          </cell>
          <cell r="K4" t="str">
            <v>AGRESTE MERIDIONAL</v>
          </cell>
          <cell r="P4" t="str">
            <v>BREJINHO</v>
          </cell>
        </row>
        <row r="5">
          <cell r="B5" t="str">
            <v>AFRÂNIO</v>
          </cell>
          <cell r="K5" t="str">
            <v>AGRESTE SETENTRIONAL</v>
          </cell>
          <cell r="P5" t="str">
            <v>CALUMBI</v>
          </cell>
        </row>
        <row r="6">
          <cell r="B6" t="str">
            <v>AGRESTINA</v>
          </cell>
          <cell r="K6" t="str">
            <v>MATA NORTE</v>
          </cell>
          <cell r="P6" t="str">
            <v>CARNAÍBA</v>
          </cell>
        </row>
        <row r="7">
          <cell r="B7" t="str">
            <v>ÁGUA PRETA</v>
          </cell>
          <cell r="K7" t="str">
            <v>MATA SUL</v>
          </cell>
          <cell r="P7" t="str">
            <v>FLORES</v>
          </cell>
        </row>
        <row r="8">
          <cell r="B8" t="str">
            <v>ÁGUAS BELAS</v>
          </cell>
          <cell r="K8" t="str">
            <v>METROPOLITANA</v>
          </cell>
          <cell r="P8" t="str">
            <v>IGUARACY</v>
          </cell>
        </row>
        <row r="9">
          <cell r="B9" t="str">
            <v>ALAGOINHA</v>
          </cell>
          <cell r="K9" t="str">
            <v>SERTÃO CENTRAL</v>
          </cell>
          <cell r="P9" t="str">
            <v>INGAZEIRA</v>
          </cell>
        </row>
        <row r="10">
          <cell r="B10" t="str">
            <v>ALIANÇA</v>
          </cell>
          <cell r="K10" t="str">
            <v>SERTÃO DE ITAPARICA</v>
          </cell>
          <cell r="P10" t="str">
            <v>ITAPETIM</v>
          </cell>
        </row>
        <row r="11">
          <cell r="B11" t="str">
            <v>ALTINHO</v>
          </cell>
          <cell r="K11" t="str">
            <v>SERTÃO DO  ARARIPE</v>
          </cell>
          <cell r="P11" t="str">
            <v>QUIXABA</v>
          </cell>
        </row>
        <row r="12">
          <cell r="B12" t="str">
            <v>AMARAJI</v>
          </cell>
          <cell r="K12" t="str">
            <v>SERTÃO DO PAJEú</v>
          </cell>
          <cell r="P12" t="str">
            <v>SANTA CRUZ DA BAIXA VERDE</v>
          </cell>
        </row>
        <row r="13">
          <cell r="B13" t="str">
            <v>ANGELIM</v>
          </cell>
          <cell r="K13" t="str">
            <v>SERTÃO DO SÃO FRANCISCO</v>
          </cell>
          <cell r="P13" t="str">
            <v>SANTA TEREZINHA</v>
          </cell>
        </row>
        <row r="14">
          <cell r="B14" t="str">
            <v>ARAÇOIABA</v>
          </cell>
          <cell r="K14" t="str">
            <v>SERTÃO MOXOTÓ</v>
          </cell>
          <cell r="P14" t="str">
            <v>SÃO JOSÉ DO EGITO</v>
          </cell>
        </row>
        <row r="15">
          <cell r="B15" t="str">
            <v>ARARIPINA</v>
          </cell>
          <cell r="P15" t="str">
            <v>SERRA TALHADA</v>
          </cell>
        </row>
        <row r="16">
          <cell r="B16" t="str">
            <v>ARCOVERDE</v>
          </cell>
          <cell r="P16" t="str">
            <v>SOLIDÃO</v>
          </cell>
        </row>
        <row r="17">
          <cell r="B17" t="str">
            <v>BARRA DE GUABIRABA</v>
          </cell>
          <cell r="P17" t="str">
            <v>TABIRA</v>
          </cell>
        </row>
        <row r="18">
          <cell r="B18" t="str">
            <v>BARREIROS</v>
          </cell>
          <cell r="P18" t="str">
            <v>TRIUNFO</v>
          </cell>
        </row>
        <row r="19">
          <cell r="B19" t="str">
            <v>BELÉM DE MARIA</v>
          </cell>
          <cell r="P19" t="str">
            <v>TUPARETAMA</v>
          </cell>
        </row>
        <row r="20">
          <cell r="B20" t="str">
            <v>BELÉM DE SÃO FRANCISCO</v>
          </cell>
          <cell r="P20" t="str">
            <v/>
          </cell>
        </row>
        <row r="21">
          <cell r="B21" t="str">
            <v>BELO JARDIM</v>
          </cell>
          <cell r="P21" t="str">
            <v/>
          </cell>
        </row>
        <row r="22">
          <cell r="B22" t="str">
            <v>BETÂNIA</v>
          </cell>
          <cell r="P22" t="str">
            <v/>
          </cell>
        </row>
        <row r="23">
          <cell r="B23" t="str">
            <v>BEZERROS</v>
          </cell>
          <cell r="P23" t="str">
            <v/>
          </cell>
        </row>
        <row r="24">
          <cell r="B24" t="str">
            <v>BODOCÓ</v>
          </cell>
          <cell r="P24" t="str">
            <v/>
          </cell>
        </row>
        <row r="25">
          <cell r="B25" t="str">
            <v>BOM CONSELHO</v>
          </cell>
          <cell r="P25" t="str">
            <v/>
          </cell>
        </row>
        <row r="26">
          <cell r="B26" t="str">
            <v>BOM JARDIM</v>
          </cell>
          <cell r="P26" t="str">
            <v/>
          </cell>
        </row>
        <row r="27">
          <cell r="B27" t="str">
            <v>BONITO</v>
          </cell>
          <cell r="P27" t="str">
            <v/>
          </cell>
        </row>
        <row r="28">
          <cell r="B28" t="str">
            <v>BREJÃO</v>
          </cell>
          <cell r="P28" t="str">
            <v/>
          </cell>
        </row>
        <row r="29">
          <cell r="B29" t="str">
            <v>BREJINHO</v>
          </cell>
        </row>
        <row r="30">
          <cell r="B30" t="str">
            <v>BREJO DA MADRE DE DEUS</v>
          </cell>
        </row>
        <row r="31">
          <cell r="B31" t="str">
            <v>BUENOS AIRES</v>
          </cell>
        </row>
        <row r="32">
          <cell r="B32" t="str">
            <v>BUÍQUE</v>
          </cell>
        </row>
        <row r="33">
          <cell r="B33" t="str">
            <v>CABO DE SANTO AGOSTINHO</v>
          </cell>
        </row>
        <row r="34">
          <cell r="B34" t="str">
            <v>CABROBÓ</v>
          </cell>
        </row>
        <row r="35">
          <cell r="B35" t="str">
            <v>CACHOEIRINHA</v>
          </cell>
        </row>
        <row r="36">
          <cell r="B36" t="str">
            <v>CAETÉS</v>
          </cell>
        </row>
        <row r="37">
          <cell r="B37" t="str">
            <v>CALÇADO</v>
          </cell>
        </row>
        <row r="38">
          <cell r="B38" t="str">
            <v>CALUMBI</v>
          </cell>
        </row>
        <row r="39">
          <cell r="B39" t="str">
            <v>CAMARAGIBE</v>
          </cell>
        </row>
        <row r="40">
          <cell r="B40" t="str">
            <v>CAMOCIM DE SÃO FÉLIX</v>
          </cell>
        </row>
        <row r="41">
          <cell r="B41" t="str">
            <v>CAMUTANGA</v>
          </cell>
        </row>
        <row r="42">
          <cell r="B42" t="str">
            <v>CANHOTINHO</v>
          </cell>
        </row>
        <row r="43">
          <cell r="B43" t="str">
            <v>CAPOEIRAS</v>
          </cell>
        </row>
        <row r="44">
          <cell r="B44" t="str">
            <v>CARNAÍBA</v>
          </cell>
        </row>
        <row r="45">
          <cell r="B45" t="str">
            <v>CARNAUBEIRA DA PENHA</v>
          </cell>
        </row>
        <row r="46">
          <cell r="B46" t="str">
            <v>CARPINA</v>
          </cell>
        </row>
        <row r="47">
          <cell r="B47" t="str">
            <v>CARUARU</v>
          </cell>
        </row>
        <row r="48">
          <cell r="B48" t="str">
            <v>CASINHAS</v>
          </cell>
        </row>
        <row r="49">
          <cell r="B49" t="str">
            <v>CATENDE</v>
          </cell>
        </row>
        <row r="50">
          <cell r="B50" t="str">
            <v>CEDRO</v>
          </cell>
        </row>
        <row r="51">
          <cell r="B51" t="str">
            <v>CHÃ DE ALEGRIA</v>
          </cell>
        </row>
        <row r="52">
          <cell r="B52" t="str">
            <v>CHÃ GRANDE</v>
          </cell>
        </row>
        <row r="53">
          <cell r="B53" t="str">
            <v>CONDADO</v>
          </cell>
        </row>
        <row r="54">
          <cell r="B54" t="str">
            <v>CORRENTES</v>
          </cell>
        </row>
        <row r="55">
          <cell r="B55" t="str">
            <v>CORTÊS</v>
          </cell>
        </row>
        <row r="56">
          <cell r="B56" t="str">
            <v>CUMARU</v>
          </cell>
        </row>
        <row r="57">
          <cell r="B57" t="str">
            <v>CUPIRA</v>
          </cell>
        </row>
        <row r="58">
          <cell r="B58" t="str">
            <v>CUSTÓDIA</v>
          </cell>
        </row>
        <row r="59">
          <cell r="B59" t="str">
            <v>DORMENTES</v>
          </cell>
        </row>
        <row r="60">
          <cell r="B60" t="str">
            <v>ESCADA</v>
          </cell>
        </row>
        <row r="61">
          <cell r="B61" t="str">
            <v>EXU</v>
          </cell>
        </row>
        <row r="62">
          <cell r="B62" t="str">
            <v>FEIRA NOVA</v>
          </cell>
        </row>
        <row r="63">
          <cell r="B63" t="str">
            <v>FERREIROS</v>
          </cell>
        </row>
        <row r="64">
          <cell r="B64" t="str">
            <v>FLORES</v>
          </cell>
        </row>
        <row r="65">
          <cell r="B65" t="str">
            <v>FLORESTA</v>
          </cell>
        </row>
        <row r="66">
          <cell r="B66" t="str">
            <v>FREI MIGUELINHO</v>
          </cell>
        </row>
        <row r="67">
          <cell r="B67" t="str">
            <v>GAMELEIRA</v>
          </cell>
        </row>
        <row r="68">
          <cell r="B68" t="str">
            <v>GARANHUNS</v>
          </cell>
        </row>
        <row r="69">
          <cell r="B69" t="str">
            <v>GLÓRIA DO GOITÁ</v>
          </cell>
        </row>
        <row r="70">
          <cell r="B70" t="str">
            <v>GOIANA</v>
          </cell>
        </row>
        <row r="71">
          <cell r="B71" t="str">
            <v>GRANITO</v>
          </cell>
        </row>
        <row r="72">
          <cell r="B72" t="str">
            <v>GRAVATÁ</v>
          </cell>
        </row>
        <row r="73">
          <cell r="B73" t="str">
            <v>IATI</v>
          </cell>
        </row>
        <row r="74">
          <cell r="B74" t="str">
            <v>IBIMIRIM</v>
          </cell>
        </row>
        <row r="75">
          <cell r="B75" t="str">
            <v>IBIRAJUBA</v>
          </cell>
        </row>
        <row r="76">
          <cell r="B76" t="str">
            <v>IGARASSU</v>
          </cell>
        </row>
        <row r="77">
          <cell r="B77" t="str">
            <v>IGUARACY</v>
          </cell>
        </row>
        <row r="78">
          <cell r="B78" t="str">
            <v>ILHA DE ITAMARACÁ</v>
          </cell>
        </row>
        <row r="79">
          <cell r="B79" t="str">
            <v>INAJÁ</v>
          </cell>
        </row>
        <row r="80">
          <cell r="B80" t="str">
            <v>INGAZEIRA</v>
          </cell>
        </row>
        <row r="81">
          <cell r="B81" t="str">
            <v>IPOJUCA</v>
          </cell>
        </row>
        <row r="82">
          <cell r="B82" t="str">
            <v>IPUBI</v>
          </cell>
        </row>
        <row r="83">
          <cell r="B83" t="str">
            <v>ITACURUBA</v>
          </cell>
        </row>
        <row r="84">
          <cell r="B84" t="str">
            <v>ITAÍBA</v>
          </cell>
        </row>
        <row r="85">
          <cell r="B85" t="str">
            <v>ITAMBÉ</v>
          </cell>
        </row>
        <row r="86">
          <cell r="B86" t="str">
            <v>ITAPETIM</v>
          </cell>
        </row>
        <row r="87">
          <cell r="B87" t="str">
            <v>ITAPISSUMA</v>
          </cell>
        </row>
        <row r="88">
          <cell r="B88" t="str">
            <v>ITAQUITINGA</v>
          </cell>
        </row>
        <row r="89">
          <cell r="B89" t="str">
            <v>JABOATÃO DOS GUARARAPES</v>
          </cell>
        </row>
        <row r="90">
          <cell r="B90" t="str">
            <v>JAQUEIRA</v>
          </cell>
        </row>
        <row r="91">
          <cell r="B91" t="str">
            <v>JATAÚBA</v>
          </cell>
        </row>
        <row r="92">
          <cell r="B92" t="str">
            <v>JATOBÁ</v>
          </cell>
        </row>
        <row r="93">
          <cell r="B93" t="str">
            <v>JOÃO ALFREDO</v>
          </cell>
        </row>
        <row r="94">
          <cell r="B94" t="str">
            <v>JOAQUIM NABUCO</v>
          </cell>
        </row>
        <row r="95">
          <cell r="B95" t="str">
            <v>JUCATI</v>
          </cell>
        </row>
        <row r="96">
          <cell r="B96" t="str">
            <v>JUPI</v>
          </cell>
        </row>
        <row r="97">
          <cell r="B97" t="str">
            <v>JUREMA</v>
          </cell>
        </row>
        <row r="98">
          <cell r="B98" t="str">
            <v>LAGOA DE ITAENGA</v>
          </cell>
        </row>
        <row r="99">
          <cell r="B99" t="str">
            <v>LAGOA DO CARRO</v>
          </cell>
        </row>
        <row r="100">
          <cell r="B100" t="str">
            <v>LAGOA DO OURO</v>
          </cell>
        </row>
        <row r="101">
          <cell r="B101" t="str">
            <v>LAGOA DOS GATOS</v>
          </cell>
        </row>
        <row r="102">
          <cell r="B102" t="str">
            <v>LAGOA GRANDE</v>
          </cell>
        </row>
        <row r="103">
          <cell r="B103" t="str">
            <v>LAJEDO</v>
          </cell>
        </row>
        <row r="104">
          <cell r="B104" t="str">
            <v>LIMOEIRO</v>
          </cell>
        </row>
        <row r="105">
          <cell r="B105" t="str">
            <v>MACAPARANA</v>
          </cell>
        </row>
        <row r="106">
          <cell r="B106" t="str">
            <v>MACHADOS</v>
          </cell>
        </row>
        <row r="107">
          <cell r="B107" t="str">
            <v>MANARI</v>
          </cell>
        </row>
        <row r="108">
          <cell r="B108" t="str">
            <v>MARAIAL</v>
          </cell>
        </row>
        <row r="109">
          <cell r="B109" t="str">
            <v>MIRANDIBA</v>
          </cell>
        </row>
        <row r="110">
          <cell r="B110" t="str">
            <v>MOREILÂNDIA</v>
          </cell>
        </row>
        <row r="111">
          <cell r="B111" t="str">
            <v>MORENO</v>
          </cell>
        </row>
        <row r="112">
          <cell r="B112" t="str">
            <v>NAZARÉ DA MATA</v>
          </cell>
        </row>
        <row r="113">
          <cell r="B113" t="str">
            <v>OLINDA</v>
          </cell>
        </row>
        <row r="114">
          <cell r="B114" t="str">
            <v>OROBÓ</v>
          </cell>
        </row>
        <row r="115">
          <cell r="B115" t="str">
            <v>OROCÓ</v>
          </cell>
        </row>
        <row r="116">
          <cell r="B116" t="str">
            <v>OURICURI</v>
          </cell>
        </row>
        <row r="117">
          <cell r="B117" t="str">
            <v>PALMARES</v>
          </cell>
        </row>
        <row r="118">
          <cell r="B118" t="str">
            <v>PALMEIRINA</v>
          </cell>
        </row>
        <row r="119">
          <cell r="B119" t="str">
            <v>PANELAS</v>
          </cell>
        </row>
        <row r="120">
          <cell r="B120" t="str">
            <v>PARANATAMA</v>
          </cell>
        </row>
        <row r="121">
          <cell r="B121" t="str">
            <v>PARNAMIRIM</v>
          </cell>
        </row>
        <row r="122">
          <cell r="B122" t="str">
            <v>PASSIRA</v>
          </cell>
        </row>
        <row r="123">
          <cell r="B123" t="str">
            <v>PAUDALHO</v>
          </cell>
        </row>
        <row r="124">
          <cell r="B124" t="str">
            <v>PAULISTA</v>
          </cell>
        </row>
        <row r="125">
          <cell r="B125" t="str">
            <v>PEDRA</v>
          </cell>
        </row>
        <row r="126">
          <cell r="B126" t="str">
            <v>PESQUEIRA</v>
          </cell>
        </row>
        <row r="127">
          <cell r="B127" t="str">
            <v>PETROLÂNDIA</v>
          </cell>
        </row>
        <row r="128">
          <cell r="B128" t="str">
            <v>PETROLINA</v>
          </cell>
        </row>
        <row r="129">
          <cell r="B129" t="str">
            <v>POÇÃO</v>
          </cell>
        </row>
        <row r="130">
          <cell r="B130" t="str">
            <v>POMBOS</v>
          </cell>
        </row>
        <row r="131">
          <cell r="B131" t="str">
            <v>PRIMAVERA</v>
          </cell>
        </row>
        <row r="132">
          <cell r="B132" t="str">
            <v>QUIPAPÁ</v>
          </cell>
        </row>
        <row r="133">
          <cell r="B133" t="str">
            <v>QUIXABA</v>
          </cell>
        </row>
        <row r="134">
          <cell r="B134" t="str">
            <v>RECIFE</v>
          </cell>
        </row>
        <row r="135">
          <cell r="B135" t="str">
            <v>RIACHO DAS ALMAS</v>
          </cell>
        </row>
        <row r="136">
          <cell r="B136" t="str">
            <v>RIBEIRÃO</v>
          </cell>
        </row>
        <row r="137">
          <cell r="B137" t="str">
            <v>RIO FORMOSO</v>
          </cell>
        </row>
        <row r="138">
          <cell r="B138" t="str">
            <v>SAIRÉ</v>
          </cell>
        </row>
        <row r="139">
          <cell r="B139" t="str">
            <v>SALGADINHO</v>
          </cell>
        </row>
        <row r="140">
          <cell r="B140" t="str">
            <v>SALGUEIRO</v>
          </cell>
        </row>
        <row r="141">
          <cell r="B141" t="str">
            <v>SALOÁ</v>
          </cell>
        </row>
        <row r="142">
          <cell r="B142" t="str">
            <v>SANHARÓ</v>
          </cell>
        </row>
        <row r="143">
          <cell r="B143" t="str">
            <v>SANTA CRUZ</v>
          </cell>
        </row>
        <row r="144">
          <cell r="B144" t="str">
            <v>SANTA CRUZ DA BAIXA VERDE</v>
          </cell>
        </row>
        <row r="145">
          <cell r="B145" t="str">
            <v>SANTA CRUZ DO CAPIBARIBE</v>
          </cell>
        </row>
        <row r="146">
          <cell r="B146" t="str">
            <v>SANTA FILOMENA</v>
          </cell>
        </row>
        <row r="147">
          <cell r="B147" t="str">
            <v>SANTA MARIA DA BOA VISTA</v>
          </cell>
        </row>
        <row r="148">
          <cell r="B148" t="str">
            <v>SANTA MARIA DO CAMBUCÁ</v>
          </cell>
        </row>
        <row r="149">
          <cell r="B149" t="str">
            <v>SANTA TEREZINHA</v>
          </cell>
        </row>
        <row r="150">
          <cell r="B150" t="str">
            <v>SÃO BENEDITO DO SUL</v>
          </cell>
        </row>
        <row r="151">
          <cell r="B151" t="str">
            <v>SÃO BENTO DO UNA</v>
          </cell>
        </row>
        <row r="152">
          <cell r="B152" t="str">
            <v>SÃO CAETANO</v>
          </cell>
        </row>
        <row r="153">
          <cell r="B153" t="str">
            <v>SÃO JOÃO</v>
          </cell>
        </row>
        <row r="154">
          <cell r="B154" t="str">
            <v>SÃO JOAQUIM DO MONTE</v>
          </cell>
        </row>
        <row r="155">
          <cell r="B155" t="str">
            <v>SÃO JOSÉ DA COROA GRANDE</v>
          </cell>
        </row>
        <row r="156">
          <cell r="B156" t="str">
            <v>SÃO JOSÉ DO BELMONTE</v>
          </cell>
        </row>
        <row r="157">
          <cell r="B157" t="str">
            <v>SÃO JOSÉ DO EGITO</v>
          </cell>
        </row>
        <row r="158">
          <cell r="B158" t="str">
            <v>SÃO LOURENÇO DA MATA</v>
          </cell>
        </row>
        <row r="159">
          <cell r="B159" t="str">
            <v>SÃO VICENTE FERRER</v>
          </cell>
        </row>
        <row r="160">
          <cell r="B160" t="str">
            <v>SERRA TALHADA</v>
          </cell>
        </row>
        <row r="161">
          <cell r="B161" t="str">
            <v>SERRITA</v>
          </cell>
        </row>
        <row r="162">
          <cell r="B162" t="str">
            <v>SERTÂNIA</v>
          </cell>
        </row>
        <row r="163">
          <cell r="B163" t="str">
            <v>SIRINHAÉM</v>
          </cell>
        </row>
        <row r="164">
          <cell r="B164" t="str">
            <v>SOLIDÃO</v>
          </cell>
        </row>
        <row r="165">
          <cell r="B165" t="str">
            <v>SURUBIM</v>
          </cell>
        </row>
        <row r="166">
          <cell r="B166" t="str">
            <v>TABIRA</v>
          </cell>
        </row>
        <row r="167">
          <cell r="B167" t="str">
            <v>TACAIMBÓ</v>
          </cell>
        </row>
        <row r="168">
          <cell r="B168" t="str">
            <v>TACARATU</v>
          </cell>
        </row>
        <row r="169">
          <cell r="B169" t="str">
            <v>TAMANDARÉ</v>
          </cell>
        </row>
        <row r="170">
          <cell r="B170" t="str">
            <v>TAQUARITINGA DO NORTE</v>
          </cell>
        </row>
        <row r="171">
          <cell r="B171" t="str">
            <v>TEREZINHA</v>
          </cell>
        </row>
        <row r="172">
          <cell r="B172" t="str">
            <v>TERRA NOVA</v>
          </cell>
        </row>
        <row r="173">
          <cell r="B173" t="str">
            <v>TIMBAÚBA</v>
          </cell>
        </row>
        <row r="174">
          <cell r="B174" t="str">
            <v>TORITAMA</v>
          </cell>
        </row>
        <row r="175">
          <cell r="B175" t="str">
            <v>TRACUNHAÉM</v>
          </cell>
        </row>
        <row r="176">
          <cell r="B176" t="str">
            <v>TRINDADE</v>
          </cell>
        </row>
        <row r="177">
          <cell r="B177" t="str">
            <v>TRIUNFO</v>
          </cell>
        </row>
        <row r="178">
          <cell r="B178" t="str">
            <v>TUPANATINGA</v>
          </cell>
        </row>
        <row r="179">
          <cell r="B179" t="str">
            <v>TUPARETAMA</v>
          </cell>
        </row>
        <row r="180">
          <cell r="B180" t="str">
            <v>VENTUROSA</v>
          </cell>
        </row>
        <row r="181">
          <cell r="B181" t="str">
            <v>VERDEJANTE</v>
          </cell>
        </row>
        <row r="182">
          <cell r="B182" t="str">
            <v>VERTENTE DO LÉRIO</v>
          </cell>
        </row>
        <row r="183">
          <cell r="B183" t="str">
            <v>VERTENTES</v>
          </cell>
        </row>
        <row r="184">
          <cell r="B184" t="str">
            <v>VICÊNCIA</v>
          </cell>
        </row>
        <row r="185">
          <cell r="B185" t="str">
            <v>VITÓRIA DE SANTO ANTÃO</v>
          </cell>
        </row>
        <row r="186">
          <cell r="B186" t="str">
            <v>XEXÉU</v>
          </cell>
        </row>
      </sheetData>
      <sheetData sheetId="9" refreshError="1"/>
      <sheetData sheetId="10" refreshError="1"/>
      <sheetData sheetId="11"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7">
    <pageSetUpPr fitToPage="1"/>
  </sheetPr>
  <dimension ref="B1:G202"/>
  <sheetViews>
    <sheetView showGridLines="0" tabSelected="1" zoomScale="90" zoomScaleNormal="90" workbookViewId="0">
      <selection activeCell="G6" sqref="G6"/>
    </sheetView>
  </sheetViews>
  <sheetFormatPr defaultRowHeight="14.4" x14ac:dyDescent="0.3"/>
  <cols>
    <col min="1" max="1" width="1.21875" customWidth="1"/>
    <col min="2" max="2" width="36.77734375" customWidth="1"/>
    <col min="3" max="3" width="19.77734375" customWidth="1"/>
    <col min="4" max="4" width="17.5546875" bestFit="1" customWidth="1"/>
    <col min="5" max="5" width="19.5546875" customWidth="1"/>
    <col min="6" max="6" width="17.77734375" customWidth="1"/>
    <col min="7" max="7" width="29.21875" bestFit="1" customWidth="1"/>
  </cols>
  <sheetData>
    <row r="1" spans="2:7" ht="41.25" customHeight="1" x14ac:dyDescent="0.3">
      <c r="B1" s="1"/>
      <c r="C1" s="1"/>
      <c r="D1" s="1"/>
      <c r="E1" s="1"/>
      <c r="F1" s="1"/>
      <c r="G1" s="1"/>
    </row>
    <row r="2" spans="2:7" ht="15" customHeight="1" x14ac:dyDescent="0.3">
      <c r="B2" s="19" t="str">
        <f>[1]RASCUNHO!B2</f>
        <v>NOTA TÉCNICA</v>
      </c>
      <c r="C2" s="19"/>
      <c r="D2" s="19"/>
      <c r="E2" s="19"/>
      <c r="F2" s="19"/>
      <c r="G2" s="19"/>
    </row>
    <row r="3" spans="2:7" x14ac:dyDescent="0.3">
      <c r="B3" s="19"/>
      <c r="C3" s="19"/>
      <c r="D3" s="19"/>
      <c r="E3" s="19"/>
      <c r="F3" s="19"/>
      <c r="G3" s="19"/>
    </row>
    <row r="4" spans="2:7" ht="23.4" x14ac:dyDescent="0.3">
      <c r="B4" s="2"/>
      <c r="C4" s="2"/>
      <c r="D4" s="2"/>
      <c r="E4" s="2"/>
      <c r="F4" s="2"/>
      <c r="G4" s="2"/>
    </row>
    <row r="5" spans="2:7" ht="23.4" x14ac:dyDescent="0.3">
      <c r="B5" s="2"/>
      <c r="C5" s="2"/>
      <c r="D5" s="2"/>
      <c r="E5" s="2"/>
      <c r="F5" s="2"/>
      <c r="G5" s="3" t="s">
        <v>34</v>
      </c>
    </row>
    <row r="6" spans="2:7" ht="23.4" x14ac:dyDescent="0.3">
      <c r="B6" s="2"/>
      <c r="C6" s="2"/>
      <c r="D6" s="2"/>
      <c r="E6" s="2"/>
      <c r="F6" s="2"/>
    </row>
    <row r="7" spans="2:7" ht="23.4" x14ac:dyDescent="0.3">
      <c r="B7" s="2" t="s">
        <v>11</v>
      </c>
      <c r="C7" s="2"/>
      <c r="D7" s="2"/>
      <c r="E7" s="2"/>
      <c r="F7" s="2"/>
      <c r="G7" s="3"/>
    </row>
    <row r="8" spans="2:7" ht="23.4" x14ac:dyDescent="0.3">
      <c r="B8" s="2"/>
      <c r="C8" s="2"/>
      <c r="D8" s="2"/>
      <c r="E8" s="2"/>
      <c r="F8" s="2"/>
      <c r="G8" s="2"/>
    </row>
    <row r="9" spans="2:7" ht="23.4" hidden="1" x14ac:dyDescent="0.3">
      <c r="B9" s="2"/>
      <c r="C9" s="2"/>
      <c r="D9" s="2"/>
      <c r="E9" s="2"/>
      <c r="F9" s="2"/>
      <c r="G9" s="2"/>
    </row>
    <row r="10" spans="2:7" ht="23.4" x14ac:dyDescent="0.3">
      <c r="B10" s="4" t="str">
        <f>[1]RASCUNHO!B10</f>
        <v>1. FEM 2013</v>
      </c>
      <c r="C10" s="2"/>
      <c r="D10" s="2"/>
      <c r="E10" s="2"/>
      <c r="F10" s="2"/>
      <c r="G10" s="2"/>
    </row>
    <row r="11" spans="2:7" ht="15" customHeight="1" x14ac:dyDescent="0.3">
      <c r="B11" s="5"/>
      <c r="C11" s="2"/>
      <c r="D11" s="2"/>
      <c r="E11" s="2"/>
      <c r="F11" s="2"/>
      <c r="G11" s="2"/>
    </row>
    <row r="12" spans="2:7" s="6" customFormat="1" ht="36" customHeight="1" x14ac:dyDescent="0.3">
      <c r="B12" s="20" t="s">
        <v>14</v>
      </c>
      <c r="C12" s="21">
        <v>0</v>
      </c>
      <c r="D12" s="21">
        <v>0</v>
      </c>
      <c r="E12" s="21">
        <v>0</v>
      </c>
      <c r="F12" s="21">
        <v>0</v>
      </c>
      <c r="G12" s="21">
        <v>0</v>
      </c>
    </row>
    <row r="13" spans="2:7" x14ac:dyDescent="0.3">
      <c r="B13" s="1"/>
      <c r="C13" s="1"/>
      <c r="D13" s="1"/>
      <c r="E13" s="1"/>
      <c r="F13" s="1"/>
      <c r="G13" s="1"/>
    </row>
    <row r="14" spans="2:7" ht="36" x14ac:dyDescent="0.3">
      <c r="B14" s="7" t="s">
        <v>0</v>
      </c>
      <c r="C14" s="7" t="s">
        <v>1</v>
      </c>
      <c r="D14" s="7" t="s">
        <v>2</v>
      </c>
      <c r="E14" s="7" t="s">
        <v>3</v>
      </c>
      <c r="F14" s="7" t="s">
        <v>4</v>
      </c>
      <c r="G14" s="7" t="s">
        <v>5</v>
      </c>
    </row>
    <row r="15" spans="2:7" ht="231" customHeight="1" x14ac:dyDescent="0.3">
      <c r="B15" s="8" t="s">
        <v>17</v>
      </c>
      <c r="C15" s="9">
        <v>1499854.81</v>
      </c>
      <c r="D15" s="9">
        <v>1500703.9336428908</v>
      </c>
      <c r="E15" s="10">
        <v>41863</v>
      </c>
      <c r="F15" s="8" t="s">
        <v>6</v>
      </c>
      <c r="G15" s="8" t="s">
        <v>39</v>
      </c>
    </row>
    <row r="16" spans="2:7" ht="84.6" customHeight="1" x14ac:dyDescent="0.3">
      <c r="B16" s="8" t="s">
        <v>7</v>
      </c>
      <c r="C16" s="9">
        <v>468915.56</v>
      </c>
      <c r="D16" s="9">
        <v>468066.43935710931</v>
      </c>
      <c r="E16" s="10">
        <v>41990</v>
      </c>
      <c r="F16" s="8" t="s">
        <v>6</v>
      </c>
      <c r="G16" s="8" t="s">
        <v>40</v>
      </c>
    </row>
    <row r="17" spans="2:7" ht="30" customHeight="1" x14ac:dyDescent="0.3">
      <c r="B17" s="17" t="s">
        <v>24</v>
      </c>
      <c r="C17" s="9">
        <f>SUM(C12:C16)</f>
        <v>1968770.37</v>
      </c>
      <c r="D17" s="9">
        <f>SUM(D12:D16)</f>
        <v>1968770.3730000001</v>
      </c>
    </row>
    <row r="18" spans="2:7" ht="30" customHeight="1" x14ac:dyDescent="0.3">
      <c r="B18" s="18"/>
      <c r="C18" s="14"/>
      <c r="D18" s="14"/>
    </row>
    <row r="19" spans="2:7" ht="15" customHeight="1" x14ac:dyDescent="0.3">
      <c r="B19" s="5" t="s">
        <v>8</v>
      </c>
    </row>
    <row r="20" spans="2:7" ht="15" customHeight="1" x14ac:dyDescent="0.3"/>
    <row r="21" spans="2:7" ht="36" customHeight="1" x14ac:dyDescent="0.3">
      <c r="B21" s="20" t="s">
        <v>13</v>
      </c>
      <c r="C21" s="21"/>
      <c r="D21" s="21"/>
      <c r="E21" s="21"/>
      <c r="F21" s="21"/>
      <c r="G21" s="21"/>
    </row>
    <row r="22" spans="2:7" ht="15" customHeight="1" x14ac:dyDescent="0.3"/>
    <row r="23" spans="2:7" ht="37.5" customHeight="1" x14ac:dyDescent="0.3">
      <c r="B23" s="7" t="s">
        <v>0</v>
      </c>
      <c r="C23" s="7" t="s">
        <v>1</v>
      </c>
      <c r="D23" s="7" t="s">
        <v>2</v>
      </c>
      <c r="E23" s="7" t="s">
        <v>3</v>
      </c>
      <c r="F23" s="7" t="s">
        <v>4</v>
      </c>
      <c r="G23" s="7" t="s">
        <v>5</v>
      </c>
    </row>
    <row r="24" spans="2:7" ht="35.549999999999997" customHeight="1" x14ac:dyDescent="0.3">
      <c r="B24" s="8" t="s">
        <v>9</v>
      </c>
      <c r="C24" s="9">
        <v>755044.51</v>
      </c>
      <c r="D24" s="9">
        <v>755044.51</v>
      </c>
      <c r="E24" s="10">
        <v>42534</v>
      </c>
      <c r="F24" s="8" t="s">
        <v>6</v>
      </c>
      <c r="G24" s="8" t="s">
        <v>38</v>
      </c>
    </row>
    <row r="25" spans="2:7" ht="112.8" customHeight="1" x14ac:dyDescent="0.3">
      <c r="B25" s="8" t="s">
        <v>12</v>
      </c>
      <c r="C25" s="9">
        <v>1537894.68</v>
      </c>
      <c r="D25" s="9">
        <v>1509105.1</v>
      </c>
      <c r="E25" s="10">
        <v>42836</v>
      </c>
      <c r="F25" s="8" t="s">
        <v>6</v>
      </c>
      <c r="G25" s="8" t="s">
        <v>28</v>
      </c>
    </row>
    <row r="26" spans="2:7" ht="30" customHeight="1" x14ac:dyDescent="0.3">
      <c r="B26" s="17" t="s">
        <v>24</v>
      </c>
      <c r="C26" s="9">
        <f>SUM(C21:C25)</f>
        <v>2292939.19</v>
      </c>
      <c r="D26" s="9">
        <f>SUM(D21:D25)</f>
        <v>2264149.6100000003</v>
      </c>
    </row>
    <row r="27" spans="2:7" ht="30" customHeight="1" x14ac:dyDescent="0.3">
      <c r="B27" s="18"/>
      <c r="C27" s="14"/>
      <c r="D27" s="14"/>
    </row>
    <row r="28" spans="2:7" ht="15" customHeight="1" x14ac:dyDescent="0.3">
      <c r="B28" s="5" t="s">
        <v>15</v>
      </c>
    </row>
    <row r="29" spans="2:7" ht="15" customHeight="1" x14ac:dyDescent="0.3"/>
    <row r="30" spans="2:7" ht="36" customHeight="1" x14ac:dyDescent="0.3">
      <c r="B30" s="20" t="s">
        <v>37</v>
      </c>
      <c r="C30" s="21"/>
      <c r="D30" s="21"/>
      <c r="E30" s="21"/>
      <c r="F30" s="21"/>
      <c r="G30" s="21"/>
    </row>
    <row r="31" spans="2:7" ht="15" customHeight="1" x14ac:dyDescent="0.3"/>
    <row r="32" spans="2:7" ht="37.5" customHeight="1" x14ac:dyDescent="0.3">
      <c r="B32" s="7" t="s">
        <v>0</v>
      </c>
      <c r="C32" s="7" t="s">
        <v>1</v>
      </c>
      <c r="D32" s="7" t="s">
        <v>2</v>
      </c>
      <c r="E32" s="7" t="s">
        <v>3</v>
      </c>
      <c r="F32" s="7" t="s">
        <v>4</v>
      </c>
      <c r="G32" s="7" t="s">
        <v>5</v>
      </c>
    </row>
    <row r="33" spans="2:7" ht="342.6" customHeight="1" x14ac:dyDescent="0.3">
      <c r="B33" s="8" t="s">
        <v>22</v>
      </c>
      <c r="C33" s="9">
        <v>2157956.44</v>
      </c>
      <c r="D33" s="9">
        <v>1726365.15</v>
      </c>
      <c r="E33" s="10">
        <v>45755</v>
      </c>
      <c r="F33" s="8" t="s">
        <v>16</v>
      </c>
      <c r="G33" s="16" t="s">
        <v>29</v>
      </c>
    </row>
    <row r="34" spans="2:7" ht="143.4" customHeight="1" x14ac:dyDescent="0.3">
      <c r="B34" s="8" t="s">
        <v>35</v>
      </c>
      <c r="C34" s="9">
        <v>112000</v>
      </c>
      <c r="D34" s="9">
        <v>37293.269999999997</v>
      </c>
      <c r="E34" s="10">
        <v>44512</v>
      </c>
      <c r="F34" s="8" t="s">
        <v>16</v>
      </c>
      <c r="G34" s="8" t="s">
        <v>36</v>
      </c>
    </row>
    <row r="35" spans="2:7" ht="30" customHeight="1" x14ac:dyDescent="0.3">
      <c r="B35" s="17" t="s">
        <v>24</v>
      </c>
      <c r="C35" s="9">
        <f>SUM(C33:C34)</f>
        <v>2269956.44</v>
      </c>
      <c r="D35" s="9">
        <f>SUM(D33:D34)</f>
        <v>1763658.42</v>
      </c>
      <c r="E35" s="15"/>
      <c r="F35" s="13"/>
      <c r="G35" s="13"/>
    </row>
    <row r="36" spans="2:7" ht="30" customHeight="1" x14ac:dyDescent="0.3">
      <c r="B36" s="18"/>
      <c r="C36" s="14"/>
      <c r="D36" s="14"/>
      <c r="E36" s="15"/>
      <c r="F36" s="13"/>
      <c r="G36" s="13"/>
    </row>
    <row r="37" spans="2:7" ht="15" customHeight="1" x14ac:dyDescent="0.3">
      <c r="B37" s="11" t="s">
        <v>10</v>
      </c>
    </row>
    <row r="38" spans="2:7" ht="17.55" customHeight="1" x14ac:dyDescent="0.3">
      <c r="B38" s="11"/>
    </row>
    <row r="39" spans="2:7" ht="36.75" customHeight="1" x14ac:dyDescent="0.3">
      <c r="B39" s="20" t="s">
        <v>26</v>
      </c>
      <c r="C39" s="21"/>
      <c r="D39" s="21"/>
      <c r="E39" s="21"/>
      <c r="F39" s="21"/>
      <c r="G39" s="21"/>
    </row>
    <row r="40" spans="2:7" ht="16.5" customHeight="1" x14ac:dyDescent="0.3"/>
    <row r="41" spans="2:7" ht="54" x14ac:dyDescent="0.3">
      <c r="B41" s="7" t="s">
        <v>0</v>
      </c>
      <c r="C41" s="7" t="s">
        <v>25</v>
      </c>
      <c r="D41" s="7" t="s">
        <v>2</v>
      </c>
      <c r="E41" s="7" t="s">
        <v>3</v>
      </c>
      <c r="F41" s="7" t="s">
        <v>4</v>
      </c>
      <c r="G41" s="7" t="s">
        <v>5</v>
      </c>
    </row>
    <row r="42" spans="2:7" ht="187.8" customHeight="1" x14ac:dyDescent="0.3">
      <c r="B42" s="8" t="s">
        <v>18</v>
      </c>
      <c r="C42" s="12">
        <v>483025.2</v>
      </c>
      <c r="D42" s="12">
        <v>483025.2</v>
      </c>
      <c r="E42" s="10">
        <v>42863</v>
      </c>
      <c r="F42" s="8" t="s">
        <v>6</v>
      </c>
      <c r="G42" s="8" t="s">
        <v>33</v>
      </c>
    </row>
    <row r="43" spans="2:7" ht="69" customHeight="1" x14ac:dyDescent="0.3">
      <c r="B43" s="8" t="s">
        <v>19</v>
      </c>
      <c r="C43" s="12">
        <v>99950.97</v>
      </c>
      <c r="D43" s="9">
        <v>29985.29</v>
      </c>
      <c r="E43" s="10">
        <v>44670</v>
      </c>
      <c r="F43" s="8" t="s">
        <v>16</v>
      </c>
      <c r="G43" s="16" t="s">
        <v>30</v>
      </c>
    </row>
    <row r="44" spans="2:7" ht="166.8" customHeight="1" x14ac:dyDescent="0.3">
      <c r="B44" s="8" t="s">
        <v>20</v>
      </c>
      <c r="C44" s="12">
        <v>99999.99</v>
      </c>
      <c r="D44" s="9">
        <v>29999.99</v>
      </c>
      <c r="E44" s="10">
        <v>44896</v>
      </c>
      <c r="F44" s="8" t="s">
        <v>16</v>
      </c>
      <c r="G44" s="16" t="s">
        <v>27</v>
      </c>
    </row>
    <row r="45" spans="2:7" ht="127.8" customHeight="1" x14ac:dyDescent="0.3">
      <c r="B45" s="8" t="s">
        <v>21</v>
      </c>
      <c r="C45" s="12">
        <v>299999.44</v>
      </c>
      <c r="D45" s="9">
        <v>89999.83</v>
      </c>
      <c r="E45" s="10">
        <v>45755</v>
      </c>
      <c r="F45" s="8" t="s">
        <v>16</v>
      </c>
      <c r="G45" s="8" t="s">
        <v>31</v>
      </c>
    </row>
    <row r="46" spans="2:7" ht="117.6" customHeight="1" x14ac:dyDescent="0.3">
      <c r="B46" s="8" t="s">
        <v>23</v>
      </c>
      <c r="C46" s="12">
        <v>700000</v>
      </c>
      <c r="D46" s="9">
        <v>210000</v>
      </c>
      <c r="E46" s="10">
        <v>45748</v>
      </c>
      <c r="F46" s="8" t="s">
        <v>16</v>
      </c>
      <c r="G46" s="8" t="s">
        <v>32</v>
      </c>
    </row>
    <row r="47" spans="2:7" ht="31.05" customHeight="1" x14ac:dyDescent="0.3">
      <c r="B47" s="17" t="s">
        <v>24</v>
      </c>
      <c r="C47" s="9">
        <f>SUM(C42:C46)</f>
        <v>1682975.6</v>
      </c>
      <c r="D47" s="9">
        <f>SUM(D42:D46)</f>
        <v>843010.30999999994</v>
      </c>
    </row>
    <row r="48" spans="2:7"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sheetData>
  <protectedRanges>
    <protectedRange password="C519" sqref="B42:B46" name="INT_GERAL_1_1_1" securityDescriptor="O:WDG:WDD:(A;;CC;;;S-1-5-21-1032028694-930110156-3898847061-3772)(A;;CC;;;S-1-5-21-1032028694-930110156-3898847061-3154)(A;;CC;;;S-1-5-21-1032028694-930110156-3898847061-3696)(A;;CC;;;S-1-5-21-1032028694-930110156-3898847061-3133)(A;;CC;;;S-1-5-21-1032028694-930110156-3898847061-3153)(A;;CC;;;S-1-5-21-1032028694-930110156-3898847061-2563)(A;;CC;;;S-1-5-21-1032028694-930110156-3898847061-3740)(A;;CC;;;S-1-5-21-1032028694-930110156-3898847061-3127)(A;;CC;;;S-1-5-21-1032028694-930110156-3898847061-3129)(A;;CC;;;S-1-5-21-1032028694-930110156-3898847061-3643)(A;;CC;;;S-1-5-21-1032028694-930110156-3898847061-3702)(A;;CC;;;S-1-5-21-1032028694-930110156-3898847061-1665)(A;;CC;;;S-1-5-21-1032028694-930110156-3898847061-3758)"/>
    <protectedRange password="C519" sqref="C42:D43 C44:C46" name="INT_GERAL_1_3_1" securityDescriptor="O:WDG:WDD:(A;;CC;;;S-1-5-21-1032028694-930110156-3898847061-3772)(A;;CC;;;S-1-5-21-1032028694-930110156-3898847061-3154)(A;;CC;;;S-1-5-21-1032028694-930110156-3898847061-3696)(A;;CC;;;S-1-5-21-1032028694-930110156-3898847061-3133)(A;;CC;;;S-1-5-21-1032028694-930110156-3898847061-3153)(A;;CC;;;S-1-5-21-1032028694-930110156-3898847061-2563)(A;;CC;;;S-1-5-21-1032028694-930110156-3898847061-3740)(A;;CC;;;S-1-5-21-1032028694-930110156-3898847061-3127)(A;;CC;;;S-1-5-21-1032028694-930110156-3898847061-3129)(A;;CC;;;S-1-5-21-1032028694-930110156-3898847061-3643)(A;;CC;;;S-1-5-21-1032028694-930110156-3898847061-3702)(A;;CC;;;S-1-5-21-1032028694-930110156-3898847061-1665)(A;;CC;;;S-1-5-21-1032028694-930110156-3898847061-3758)"/>
  </protectedRanges>
  <mergeCells count="5">
    <mergeCell ref="B2:G3"/>
    <mergeCell ref="B12:G12"/>
    <mergeCell ref="B21:G21"/>
    <mergeCell ref="B30:G30"/>
    <mergeCell ref="B39:G39"/>
  </mergeCells>
  <pageMargins left="0.11811023622047245" right="0.11811023622047245" top="0.78740157480314965" bottom="0.78740157480314965" header="0.31496062992125984" footer="0.31496062992125984"/>
  <pageSetup paperSize="9" scale="66" fitToHeight="0" orientation="portrait" r:id="rId1"/>
  <rowBreaks count="2" manualBreakCount="2">
    <brk id="26" max="16383" man="1"/>
    <brk id="35" max="16383" man="1"/>
  </rowBreaks>
  <colBreaks count="1" manualBreakCount="1">
    <brk id="1"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NOTA TÉCNICA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ricardo.pansera</dc:creator>
  <cp:lastModifiedBy>luiz henrique xavier</cp:lastModifiedBy>
  <cp:lastPrinted>2026-03-17T13:22:17Z</cp:lastPrinted>
  <dcterms:created xsi:type="dcterms:W3CDTF">2017-04-03T13:54:37Z</dcterms:created>
  <dcterms:modified xsi:type="dcterms:W3CDTF">2026-03-17T13:57:40Z</dcterms:modified>
</cp:coreProperties>
</file>